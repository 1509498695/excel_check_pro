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<sst xmlns="http://schemas.openxmlformats.org/spreadsheetml/2006/main" count="58" uniqueCount="47">
  <si>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需求文档</t>
  </si>
  <si>
    <t>用例总数</t>
  </si>
  <si>
    <t>测试结果</t>
  </si>
  <si>
    <t>测试通过（T）</t>
  </si>
  <si>
    <t>未通过（F）</t>
  </si>
  <si>
    <t>删除用例（D）</t>
  </si>
  <si>
    <t>无法测试（N/A）</t>
  </si>
  <si>
    <t>SVN路径或者参考文档</t>
  </si>
  <si>
    <t>执行率</t>
  </si>
  <si>
    <t>通过率</t>
  </si>
  <si>
    <t>用例编号</t>
  </si>
  <si>
    <t>测试标题</t>
  </si>
  <si>
    <t>前置条件</t>
  </si>
  <si>
    <t>操作步骤</t>
  </si>
  <si>
    <t>预期结果</t>
  </si>
  <si>
    <t>优先级</t>
  </si>
  <si>
    <t>备注</t>
  </si>
  <si>
    <t>测试人员1_设备1</t>
  </si>
  <si>
    <t>功能模块</t>
  </si>
  <si>
    <t>检查点</t>
  </si>
  <si>
    <t>V1.1_2017-04-25</t>
  </si>
  <si>
    <t>邮件</t>
  </si>
  <si>
    <t>韩国包</t>
  </si>
  <si>
    <t>兼容</t>
  </si>
  <si>
    <t>开关兼容</t>
  </si>
  <si>
    <t>老功能耦合兼容</t>
  </si>
  <si>
    <t>退款</t>
  </si>
  <si>
    <t>移民</t>
  </si>
  <si>
    <t>常规测试点</t>
  </si>
  <si>
    <t>安卓/IOS、PC查看活动界面</t>
  </si>
  <si>
    <t>界面显示与假图一致</t>
  </si>
  <si>
    <t>资源特效无异常模糊</t>
  </si>
  <si>
    <t>高中低端机查看查看活动界面</t>
  </si>
  <si>
    <t>快速多次点击按钮</t>
  </si>
  <si>
    <t>只有一次点击效果</t>
  </si>
  <si>
    <t>按钮点击有CD</t>
  </si>
  <si>
    <t>dlc包查看功能</t>
  </si>
  <si>
    <t>界面显示、操作无异常</t>
  </si>
  <si>
    <t>各界面多语言检查</t>
  </si>
  <si>
    <t>多语言无超框</t>
  </si>
  <si>
    <t>文本无错别字，语意正确</t>
  </si>
  <si>
    <t>多语言显示对应小语种文本</t>
  </si>
  <si>
    <t>国服无英语字母文本</t>
  </si>
  <si>
    <t>数字文本显示千分号</t>
  </si>
  <si>
    <t>显示正常</t>
  </si>
  <si>
    <t>多语言按钮文本全大写</t>
  </si>
  <si>
    <t>多语言页面标题文本全大写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</si>
</sst>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8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5D4E6"/>
        <bgColor indexed="64"/>
      </patternFill>
    </fill>
    <fill>
      <patternFill patternType="solid">
        <fgColor rgb="FF98FA1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9" borderId="19" applyNumberFormat="0" applyAlignment="0" applyProtection="0">
      <alignment vertical="center"/>
    </xf>
    <xf numFmtId="0" fontId="15" fillId="9" borderId="18" applyNumberFormat="0" applyAlignment="0" applyProtection="0">
      <alignment vertical="center"/>
    </xf>
    <xf numFmtId="0" fontId="16" fillId="10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4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01"/>
  <sheetViews>
    <sheetView tabSelected="1" workbookViewId="0">
      <selection activeCell="M18" sqref="M18"/>
    </sheetView>
  </sheetViews>
  <sheetFormatPr defaultColWidth="14" defaultRowHeight="12.75"/>
  <cols>
    <col min="1" max="1" width="14" customWidth="1"/>
    <col min="2" max="2" width="33" customWidth="1"/>
    <col min="3" max="3" width="32" customWidth="1"/>
    <col min="4" max="5" width="30" customWidth="1"/>
    <col min="6" max="6" width="12" customWidth="1"/>
    <col min="7" max="8" width="23" customWidth="1"/>
    <col min="9" max="22" width="14" customWidth="1"/>
  </cols>
  <sheetData>
    <row r="1" ht="18" spans="1:22">
      <c r="A1" s="1"/>
      <c r="B1" s="2"/>
      <c r="C1" s="2"/>
      <c r="D1" s="2" t="s">
        <v>0</v>
      </c>
      <c r="E1" s="2"/>
      <c r="F1" s="2"/>
      <c r="G1" s="2"/>
      <c r="H1" s="3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  <c r="V1" s="5"/>
    </row>
    <row r="2" ht="23.25" spans="1:22">
      <c r="A2" s="6" t="s">
        <v>1</v>
      </c>
      <c r="B2" s="7">
        <f>COUNTA(A11:A88)</f>
        <v>75</v>
      </c>
      <c r="C2" s="7"/>
      <c r="D2" s="7"/>
      <c r="E2" s="7"/>
      <c r="F2" s="7"/>
      <c r="G2" s="7"/>
      <c r="H2" s="8"/>
      <c r="I2" s="9"/>
      <c r="J2" s="10" t="s">
        <v>2</v>
      </c>
      <c r="K2" s="11" t="s">
        <v>2</v>
      </c>
      <c r="L2" s="12" t="s">
        <v>2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ht="23.25" spans="1:22">
      <c r="A3" s="6"/>
      <c r="B3" s="13"/>
      <c r="C3" s="13"/>
      <c r="D3" s="13"/>
      <c r="E3" s="13"/>
      <c r="F3" s="13"/>
      <c r="G3" s="13"/>
      <c r="H3" s="14"/>
      <c r="I3" s="15" t="s">
        <v>3</v>
      </c>
      <c r="J3" s="16">
        <f>COUNTIF(J11:J771,"T")</f>
        <v>0</v>
      </c>
      <c r="K3" s="12">
        <f>COUNTIF(K11:K771,"T")</f>
        <v>0</v>
      </c>
      <c r="L3" s="12">
        <f>COUNTIF(L11:L771,"T")</f>
        <v>0</v>
      </c>
      <c r="M3" s="5"/>
      <c r="N3" s="5"/>
      <c r="O3" s="5"/>
      <c r="P3" s="5"/>
      <c r="Q3" s="5"/>
      <c r="R3" s="5"/>
      <c r="S3" s="5"/>
      <c r="T3" s="5"/>
      <c r="U3" s="5"/>
      <c r="V3" s="5"/>
    </row>
    <row r="4" ht="23.25" spans="1:22">
      <c r="A4" s="6"/>
      <c r="B4" s="13"/>
      <c r="C4" s="13"/>
      <c r="D4" s="13"/>
      <c r="E4" s="13"/>
      <c r="F4" s="13"/>
      <c r="G4" s="13"/>
      <c r="H4" s="14"/>
      <c r="I4" s="17" t="s">
        <v>4</v>
      </c>
      <c r="J4" s="16">
        <f>COUNTIF(J11:J771,"F")</f>
        <v>0</v>
      </c>
      <c r="K4" s="12">
        <f>COUNTIF(K11:K771,"F")</f>
        <v>0</v>
      </c>
      <c r="L4" s="12">
        <f>COUNTIF(L11:L771,"F")</f>
        <v>0</v>
      </c>
      <c r="M4" s="5"/>
      <c r="N4" s="5"/>
      <c r="O4" s="5"/>
      <c r="P4" s="5"/>
      <c r="Q4" s="5"/>
      <c r="R4" s="5"/>
      <c r="S4" s="5"/>
      <c r="T4" s="5"/>
      <c r="U4" s="5"/>
      <c r="V4" s="5"/>
    </row>
    <row r="5" ht="23.25" spans="1:22">
      <c r="A5" s="6"/>
      <c r="B5" s="13"/>
      <c r="C5" s="13"/>
      <c r="D5" s="13"/>
      <c r="E5" s="13"/>
      <c r="F5" s="13"/>
      <c r="G5" s="13"/>
      <c r="H5" s="14"/>
      <c r="I5" s="18" t="s">
        <v>5</v>
      </c>
      <c r="J5" s="16">
        <f>COUNTIF(J11:J771,"D")</f>
        <v>0</v>
      </c>
      <c r="K5" s="12">
        <f>COUNTIF(K11:K771,"D")</f>
        <v>0</v>
      </c>
      <c r="L5" s="12">
        <f>COUNTIF(L11:L771,"D")</f>
        <v>0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 ht="23.25" spans="1:22">
      <c r="A6" s="6"/>
      <c r="B6" s="19"/>
      <c r="C6" s="19"/>
      <c r="D6" s="19"/>
      <c r="E6" s="19"/>
      <c r="F6" s="19"/>
      <c r="G6" s="19"/>
      <c r="H6" s="20"/>
      <c r="I6" s="21" t="s">
        <v>6</v>
      </c>
      <c r="J6" s="16">
        <f>COUNTIF(J11:J771,"N/A")</f>
        <v>0</v>
      </c>
      <c r="K6" s="12">
        <f>COUNTIF(K11:K771,"N/A")</f>
        <v>0</v>
      </c>
      <c r="L6" s="12">
        <f>COUNTIF(L11:L771,"N/A")</f>
        <v>0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>
      <c r="A7" s="22" t="s">
        <v>7</v>
      </c>
      <c r="B7" s="23"/>
      <c r="C7" s="23"/>
      <c r="D7" s="23"/>
      <c r="E7" s="23"/>
      <c r="F7" s="23"/>
      <c r="G7" s="23"/>
      <c r="H7" s="24"/>
      <c r="I7" s="25" t="s">
        <v>8</v>
      </c>
      <c r="J7" s="26">
        <f>(J5+J4+J3)/$B$2</f>
        <v>0</v>
      </c>
      <c r="K7" s="27">
        <f>(K5+K4+K3)/$B$2</f>
        <v>0</v>
      </c>
      <c r="L7" s="27">
        <f>(L6+L5+L4+L3)/$B$2</f>
        <v>0</v>
      </c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>
      <c r="A8" s="22"/>
      <c r="B8" s="12"/>
      <c r="C8" s="12"/>
      <c r="D8" s="12"/>
      <c r="E8" s="12"/>
      <c r="F8" s="12"/>
      <c r="G8" s="12"/>
      <c r="H8" s="28"/>
      <c r="I8" s="29" t="s">
        <v>9</v>
      </c>
      <c r="J8" s="30">
        <f>(J3+J5)/$B$2</f>
        <v>0</v>
      </c>
      <c r="K8" s="31">
        <f>(K3+K5)/$B$2</f>
        <v>0</v>
      </c>
      <c r="L8" s="31">
        <f>(L3+L5)/$B$2</f>
        <v>0</v>
      </c>
      <c r="M8" s="5"/>
      <c r="N8" s="5"/>
      <c r="O8" s="5"/>
      <c r="P8" s="5"/>
      <c r="Q8" s="5"/>
      <c r="R8" s="5"/>
      <c r="S8" s="5"/>
      <c r="T8" s="5"/>
      <c r="U8" s="5"/>
      <c r="V8" s="5"/>
    </row>
    <row r="9" ht="25.5" spans="1:22">
      <c r="A9" s="32" t="s">
        <v>10</v>
      </c>
      <c r="B9" s="32" t="s">
        <v>11</v>
      </c>
      <c r="C9" s="32"/>
      <c r="D9" s="32"/>
      <c r="E9" s="32" t="s">
        <v>12</v>
      </c>
      <c r="F9" s="33" t="s">
        <v>13</v>
      </c>
      <c r="G9" s="33" t="s">
        <v>14</v>
      </c>
      <c r="H9" s="33" t="s">
        <v>15</v>
      </c>
      <c r="I9" s="32" t="s">
        <v>16</v>
      </c>
      <c r="J9" s="33" t="s">
        <v>17</v>
      </c>
      <c r="K9" s="33" t="s">
        <v>17</v>
      </c>
      <c r="L9" s="33" t="s">
        <v>17</v>
      </c>
      <c r="M9" s="5"/>
      <c r="N9" s="5"/>
      <c r="O9" s="5"/>
      <c r="P9" s="5"/>
      <c r="Q9" s="5"/>
      <c r="R9" s="5"/>
      <c r="S9" s="5"/>
      <c r="T9" s="5"/>
      <c r="U9" s="5"/>
      <c r="V9" s="5"/>
    </row>
    <row r="10" ht="25.5" spans="1:22">
      <c r="A10" s="32"/>
      <c r="B10" s="32" t="s">
        <v>18</v>
      </c>
      <c r="C10" s="32" t="s">
        <v>18</v>
      </c>
      <c r="D10" s="32" t="s">
        <v>19</v>
      </c>
      <c r="E10" s="32"/>
      <c r="F10" s="33"/>
      <c r="G10" s="33"/>
      <c r="H10" s="33"/>
      <c r="I10" s="32"/>
      <c r="J10" s="33" t="s">
        <v>20</v>
      </c>
      <c r="K10" s="33" t="s">
        <v>20</v>
      </c>
      <c r="L10" s="33" t="s">
        <v>20</v>
      </c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18" spans="1:22">
      <c r="A11" s="34">
        <v>1</v>
      </c>
      <c r="B11" s="35"/>
      <c r="C11" s="35"/>
      <c r="D11" s="35"/>
      <c r="E11" s="35"/>
      <c r="F11" s="35"/>
      <c r="G11" s="35"/>
      <c r="H11" s="35"/>
      <c r="I11" s="35"/>
      <c r="J11" s="36"/>
      <c r="K11" s="35"/>
      <c r="L11" s="34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18" spans="1:22">
      <c r="A12" s="34"/>
      <c r="B12" s="35"/>
      <c r="C12" s="35"/>
      <c r="D12" s="35"/>
      <c r="E12" s="35"/>
      <c r="F12" s="35"/>
      <c r="G12" s="35"/>
      <c r="H12" s="35"/>
      <c r="I12" s="35"/>
      <c r="J12" s="36"/>
      <c r="K12" s="35"/>
      <c r="L12" s="34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18" spans="1:22">
      <c r="A13" s="34">
        <v>2</v>
      </c>
      <c r="B13" s="35"/>
      <c r="C13" s="35"/>
      <c r="D13" s="35"/>
      <c r="E13" s="35"/>
      <c r="F13" s="35"/>
      <c r="G13" s="35"/>
      <c r="H13" s="35"/>
      <c r="I13" s="35"/>
      <c r="J13" s="36"/>
      <c r="K13" s="35"/>
      <c r="L13" s="34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18" spans="1:22">
      <c r="A14" s="34">
        <v>3</v>
      </c>
      <c r="B14" s="35"/>
      <c r="C14" s="35"/>
      <c r="D14" s="35"/>
      <c r="E14" s="35"/>
      <c r="F14" s="35"/>
      <c r="G14" s="35"/>
      <c r="H14" s="35"/>
      <c r="I14" s="35"/>
      <c r="J14" s="36"/>
      <c r="K14" s="35"/>
      <c r="L14" s="34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18" spans="1:22">
      <c r="A15" s="34">
        <v>4</v>
      </c>
      <c r="B15" s="35"/>
      <c r="C15" s="35"/>
      <c r="D15" s="35"/>
      <c r="E15" s="35"/>
      <c r="F15" s="35"/>
      <c r="G15" s="35"/>
      <c r="H15" s="35"/>
      <c r="I15" s="35"/>
      <c r="J15" s="36"/>
      <c r="K15" s="35"/>
      <c r="L15" s="34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8" spans="1:22">
      <c r="A16" s="34">
        <v>5</v>
      </c>
      <c r="B16" s="35"/>
      <c r="C16" s="35"/>
      <c r="D16" s="35"/>
      <c r="E16" s="35"/>
      <c r="F16" s="35"/>
      <c r="G16" s="35"/>
      <c r="H16" s="35"/>
      <c r="I16" s="35"/>
      <c r="J16" s="36"/>
      <c r="K16" s="35"/>
      <c r="L16" s="3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8" spans="1:22">
      <c r="A17" s="34">
        <v>6</v>
      </c>
      <c r="B17" s="35"/>
      <c r="C17" s="35"/>
      <c r="D17" s="35"/>
      <c r="E17" s="35"/>
      <c r="F17" s="35"/>
      <c r="G17" s="35"/>
      <c r="H17" s="35"/>
      <c r="I17" s="35"/>
      <c r="J17" s="36"/>
      <c r="K17" s="35"/>
      <c r="L17" s="3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8" spans="1:22">
      <c r="A18" s="34">
        <v>7</v>
      </c>
      <c r="B18" s="35"/>
      <c r="C18" s="35"/>
      <c r="D18" s="35"/>
      <c r="E18" s="35"/>
      <c r="F18" s="35"/>
      <c r="G18" s="35"/>
      <c r="H18" s="35"/>
      <c r="I18" s="35"/>
      <c r="J18" s="36"/>
      <c r="K18" s="35"/>
      <c r="L18" s="3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8" spans="1:22">
      <c r="A19" s="34">
        <v>8</v>
      </c>
      <c r="B19" s="35"/>
      <c r="C19" s="35"/>
      <c r="D19" s="35"/>
      <c r="E19" s="35"/>
      <c r="F19" s="35"/>
      <c r="G19" s="35"/>
      <c r="H19" s="35"/>
      <c r="I19" s="35"/>
      <c r="J19" s="36"/>
      <c r="K19" s="35"/>
      <c r="L19" s="3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8" spans="1:22">
      <c r="A20" s="34">
        <v>9</v>
      </c>
      <c r="B20" s="35"/>
      <c r="C20" s="35"/>
      <c r="D20" s="35"/>
      <c r="E20" s="35"/>
      <c r="F20" s="35"/>
      <c r="G20" s="35"/>
      <c r="H20" s="35"/>
      <c r="I20" s="35"/>
      <c r="J20" s="36"/>
      <c r="K20" s="35"/>
      <c r="L20" s="3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8" spans="1:22">
      <c r="A21" s="34">
        <v>10</v>
      </c>
      <c r="B21" s="35"/>
      <c r="C21" s="35"/>
      <c r="D21" s="35"/>
      <c r="E21" s="35"/>
      <c r="F21" s="35"/>
      <c r="G21" s="35"/>
      <c r="H21" s="35"/>
      <c r="I21" s="35"/>
      <c r="J21" s="36"/>
      <c r="K21" s="35"/>
      <c r="L21" s="3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8" spans="1:22">
      <c r="A22" s="34">
        <v>11</v>
      </c>
      <c r="B22" s="35"/>
      <c r="C22" s="35"/>
      <c r="D22" s="35"/>
      <c r="E22" s="35"/>
      <c r="F22" s="35"/>
      <c r="G22" s="35"/>
      <c r="H22" s="35"/>
      <c r="I22" s="35"/>
      <c r="J22" s="36"/>
      <c r="K22" s="35"/>
      <c r="L22" s="3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8" spans="1:22">
      <c r="A23" s="34">
        <v>12</v>
      </c>
      <c r="B23" s="35"/>
      <c r="C23" s="35"/>
      <c r="D23" s="35"/>
      <c r="E23" s="35"/>
      <c r="F23" s="35"/>
      <c r="G23" s="35"/>
      <c r="H23" s="35"/>
      <c r="I23" s="35"/>
      <c r="J23" s="36"/>
      <c r="K23" s="35"/>
      <c r="L23" s="3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8" spans="1:22">
      <c r="A24" s="34">
        <v>13</v>
      </c>
      <c r="B24" s="35"/>
      <c r="C24" s="35"/>
      <c r="D24" s="35"/>
      <c r="E24" s="35"/>
      <c r="F24" s="35"/>
      <c r="G24" s="35"/>
      <c r="H24" s="35"/>
      <c r="I24" s="35"/>
      <c r="J24" s="36"/>
      <c r="K24" s="35"/>
      <c r="L24" s="3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8" spans="1:22">
      <c r="A25" s="34">
        <v>14</v>
      </c>
      <c r="B25" s="35"/>
      <c r="C25" s="35"/>
      <c r="D25" s="35"/>
      <c r="E25" s="35"/>
      <c r="F25" s="35"/>
      <c r="G25" s="35"/>
      <c r="H25" s="35"/>
      <c r="I25" s="35"/>
      <c r="J25" s="36"/>
      <c r="K25" s="35"/>
      <c r="L25" s="3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8" spans="1:22">
      <c r="A26" s="34">
        <v>15</v>
      </c>
      <c r="B26" s="35"/>
      <c r="C26" s="35"/>
      <c r="D26" s="35"/>
      <c r="E26" s="35"/>
      <c r="F26" s="35"/>
      <c r="G26" s="35"/>
      <c r="H26" s="35"/>
      <c r="I26" s="35"/>
      <c r="J26" s="36"/>
      <c r="K26" s="35"/>
      <c r="L26" s="3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8" spans="1:22">
      <c r="A27" s="34">
        <v>16</v>
      </c>
      <c r="B27" s="35"/>
      <c r="C27" s="35"/>
      <c r="D27" s="35"/>
      <c r="E27" s="35"/>
      <c r="F27" s="35"/>
      <c r="G27" s="35"/>
      <c r="H27" s="35"/>
      <c r="I27" s="35"/>
      <c r="J27" s="36"/>
      <c r="K27" s="35"/>
      <c r="L27" s="3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8" spans="1:22">
      <c r="A28" s="34">
        <v>17</v>
      </c>
      <c r="B28" s="35"/>
      <c r="C28" s="35"/>
      <c r="D28" s="35"/>
      <c r="E28" s="35"/>
      <c r="F28" s="35"/>
      <c r="G28" s="35"/>
      <c r="H28" s="35"/>
      <c r="I28" s="35"/>
      <c r="J28" s="36"/>
      <c r="K28" s="35"/>
      <c r="L28" s="3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8" spans="1:22">
      <c r="A29" s="34">
        <v>18</v>
      </c>
      <c r="B29" s="35"/>
      <c r="C29" s="35"/>
      <c r="D29" s="35"/>
      <c r="E29" s="35"/>
      <c r="F29" s="35"/>
      <c r="G29" s="35"/>
      <c r="H29" s="35"/>
      <c r="I29" s="35"/>
      <c r="J29" s="36"/>
      <c r="K29" s="35"/>
      <c r="L29" s="3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8" spans="1:22">
      <c r="A30" s="34">
        <v>19</v>
      </c>
      <c r="B30" s="35"/>
      <c r="C30" s="35"/>
      <c r="D30" s="35"/>
      <c r="E30" s="35"/>
      <c r="F30" s="35"/>
      <c r="G30" s="35"/>
      <c r="H30" s="35"/>
      <c r="I30" s="35"/>
      <c r="J30" s="36"/>
      <c r="K30" s="35"/>
      <c r="L30" s="3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8" spans="1:22">
      <c r="A31" s="34">
        <v>20</v>
      </c>
      <c r="B31" s="35"/>
      <c r="C31" s="35"/>
      <c r="D31" s="35"/>
      <c r="E31" s="35"/>
      <c r="F31" s="35"/>
      <c r="G31" s="35"/>
      <c r="H31" s="35"/>
      <c r="I31" s="35"/>
      <c r="J31" s="36"/>
      <c r="K31" s="35"/>
      <c r="L31" s="3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8" spans="1:22">
      <c r="A32" s="34">
        <v>21</v>
      </c>
      <c r="B32" s="35"/>
      <c r="C32" s="35"/>
      <c r="D32" s="35"/>
      <c r="E32" s="35"/>
      <c r="F32" s="35"/>
      <c r="G32" s="35"/>
      <c r="H32" s="35"/>
      <c r="I32" s="35"/>
      <c r="J32" s="36"/>
      <c r="K32" s="35"/>
      <c r="L32" s="3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8" spans="1:22">
      <c r="A33" s="34">
        <v>22</v>
      </c>
      <c r="B33" s="35"/>
      <c r="C33" s="35"/>
      <c r="D33" s="35"/>
      <c r="E33" s="35"/>
      <c r="F33" s="35"/>
      <c r="G33" s="35"/>
      <c r="H33" s="35"/>
      <c r="I33" s="35"/>
      <c r="J33" s="36"/>
      <c r="K33" s="35"/>
      <c r="L33" s="3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8" spans="1:22">
      <c r="A34" s="34">
        <v>23</v>
      </c>
      <c r="B34" s="35"/>
      <c r="C34" s="35"/>
      <c r="D34" s="35"/>
      <c r="E34" s="35"/>
      <c r="F34" s="35"/>
      <c r="G34" s="35"/>
      <c r="H34" s="35"/>
      <c r="I34" s="35"/>
      <c r="J34" s="36"/>
      <c r="K34" s="35"/>
      <c r="L34" s="3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8" spans="1:22">
      <c r="A35" s="34">
        <v>24</v>
      </c>
      <c r="B35" s="35"/>
      <c r="C35" s="35"/>
      <c r="D35" s="35"/>
      <c r="E35" s="35"/>
      <c r="F35" s="35"/>
      <c r="G35" s="35"/>
      <c r="H35" s="35"/>
      <c r="I35" s="35"/>
      <c r="J35" s="36"/>
      <c r="K35" s="35"/>
      <c r="L35" s="3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8" spans="1:22">
      <c r="A36" s="34">
        <v>25</v>
      </c>
      <c r="B36" s="35"/>
      <c r="C36" s="35"/>
      <c r="D36" s="35"/>
      <c r="E36" s="35"/>
      <c r="F36" s="35"/>
      <c r="G36" s="35"/>
      <c r="H36" s="35"/>
      <c r="I36" s="35"/>
      <c r="J36" s="36"/>
      <c r="K36" s="35"/>
      <c r="L36" s="3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8" spans="1:22">
      <c r="A37" s="34">
        <v>26</v>
      </c>
      <c r="B37" s="35"/>
      <c r="C37" s="35"/>
      <c r="D37" s="35"/>
      <c r="E37" s="35"/>
      <c r="F37" s="35"/>
      <c r="G37" s="35"/>
      <c r="H37" s="35"/>
      <c r="I37" s="35"/>
      <c r="J37" s="36"/>
      <c r="K37" s="35"/>
      <c r="L37" s="3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8" spans="1:22">
      <c r="A38" s="34">
        <v>27</v>
      </c>
      <c r="B38" s="35"/>
      <c r="C38" s="35"/>
      <c r="D38" s="35"/>
      <c r="E38" s="35"/>
      <c r="F38" s="35"/>
      <c r="G38" s="35"/>
      <c r="H38" s="35"/>
      <c r="I38" s="35"/>
      <c r="J38" s="36"/>
      <c r="K38" s="35"/>
      <c r="L38" s="3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8" spans="1:22">
      <c r="A39" s="34">
        <v>28</v>
      </c>
      <c r="B39" s="35"/>
      <c r="C39" s="35"/>
      <c r="D39" s="35"/>
      <c r="E39" s="35"/>
      <c r="F39" s="35"/>
      <c r="G39" s="35"/>
      <c r="H39" s="35"/>
      <c r="I39" s="35"/>
      <c r="J39" s="36"/>
      <c r="K39" s="35"/>
      <c r="L39" s="3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8" spans="1:22">
      <c r="A40" s="34">
        <v>29</v>
      </c>
      <c r="B40" s="35"/>
      <c r="C40" s="35"/>
      <c r="D40" s="35"/>
      <c r="E40" s="35"/>
      <c r="F40" s="35"/>
      <c r="G40" s="35"/>
      <c r="H40" s="35"/>
      <c r="I40" s="35"/>
      <c r="J40" s="36"/>
      <c r="K40" s="35"/>
      <c r="L40" s="3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8" spans="1:22">
      <c r="A41" s="34">
        <v>30</v>
      </c>
      <c r="B41" s="35"/>
      <c r="C41" s="35"/>
      <c r="D41" s="35"/>
      <c r="E41" s="35"/>
      <c r="F41" s="35"/>
      <c r="G41" s="35"/>
      <c r="H41" s="35"/>
      <c r="I41" s="35"/>
      <c r="J41" s="36"/>
      <c r="K41" s="35"/>
      <c r="L41" s="3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8" spans="1:22">
      <c r="A42" s="34">
        <v>31</v>
      </c>
      <c r="B42" s="35"/>
      <c r="C42" s="35"/>
      <c r="D42" s="35"/>
      <c r="E42" s="35"/>
      <c r="F42" s="35"/>
      <c r="G42" s="35"/>
      <c r="H42" s="35"/>
      <c r="I42" s="35"/>
      <c r="J42" s="36"/>
      <c r="K42" s="35"/>
      <c r="L42" s="3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8" spans="1:22">
      <c r="A43" s="34">
        <v>32</v>
      </c>
      <c r="B43" s="35"/>
      <c r="C43" s="35"/>
      <c r="D43" s="35"/>
      <c r="E43" s="35"/>
      <c r="F43" s="35"/>
      <c r="G43" s="35"/>
      <c r="H43" s="35"/>
      <c r="I43" s="35"/>
      <c r="J43" s="36"/>
      <c r="K43" s="35"/>
      <c r="L43" s="3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8" spans="1:22">
      <c r="A44" s="34">
        <v>33</v>
      </c>
      <c r="B44" s="35"/>
      <c r="C44" s="35"/>
      <c r="D44" s="35"/>
      <c r="E44" s="35"/>
      <c r="F44" s="35"/>
      <c r="G44" s="35"/>
      <c r="H44" s="35"/>
      <c r="I44" s="35"/>
      <c r="J44" s="36"/>
      <c r="K44" s="35"/>
      <c r="L44" s="3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8" spans="1:22">
      <c r="A45" s="34">
        <v>34</v>
      </c>
      <c r="B45" s="35"/>
      <c r="C45" s="35"/>
      <c r="D45" s="35"/>
      <c r="E45" s="35"/>
      <c r="F45" s="35"/>
      <c r="G45" s="35"/>
      <c r="H45" s="35"/>
      <c r="I45" s="35"/>
      <c r="J45" s="36"/>
      <c r="K45" s="35"/>
      <c r="L45" s="3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8" spans="1:22">
      <c r="A46" s="34">
        <v>35</v>
      </c>
      <c r="B46" s="35"/>
      <c r="C46" s="35"/>
      <c r="D46" s="35"/>
      <c r="E46" s="35"/>
      <c r="F46" s="35"/>
      <c r="G46" s="35"/>
      <c r="H46" s="35"/>
      <c r="I46" s="35"/>
      <c r="J46" s="36"/>
      <c r="K46" s="35"/>
      <c r="L46" s="3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8" spans="1:22">
      <c r="A47" s="34">
        <v>36</v>
      </c>
      <c r="B47" s="35"/>
      <c r="C47" s="35"/>
      <c r="D47" s="35"/>
      <c r="E47" s="35"/>
      <c r="F47" s="35"/>
      <c r="G47" s="35"/>
      <c r="H47" s="35"/>
      <c r="I47" s="35"/>
      <c r="J47" s="36"/>
      <c r="K47" s="35"/>
      <c r="L47" s="3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8" spans="1:22">
      <c r="A48" s="34">
        <v>37</v>
      </c>
      <c r="B48" s="35"/>
      <c r="C48" s="35"/>
      <c r="D48" s="35"/>
      <c r="E48" s="35"/>
      <c r="F48" s="35"/>
      <c r="G48" s="35"/>
      <c r="H48" s="35"/>
      <c r="I48" s="35"/>
      <c r="J48" s="36"/>
      <c r="K48" s="35"/>
      <c r="L48" s="3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8" spans="1:22">
      <c r="A49" s="34">
        <v>38</v>
      </c>
      <c r="B49" s="35"/>
      <c r="C49" s="35"/>
      <c r="D49" s="35"/>
      <c r="E49" s="35"/>
      <c r="F49" s="35"/>
      <c r="G49" s="35"/>
      <c r="H49" s="35"/>
      <c r="I49" s="35"/>
      <c r="J49" s="36"/>
      <c r="K49" s="35"/>
      <c r="L49" s="3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8" spans="1:22">
      <c r="A50" s="34">
        <v>39</v>
      </c>
      <c r="B50" s="35"/>
      <c r="C50" s="35"/>
      <c r="D50" s="35"/>
      <c r="E50" s="35"/>
      <c r="F50" s="35"/>
      <c r="G50" s="35"/>
      <c r="H50" s="35"/>
      <c r="I50" s="35"/>
      <c r="J50" s="36"/>
      <c r="K50" s="35"/>
      <c r="L50" s="3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8" spans="1:22">
      <c r="A51" s="34">
        <v>40</v>
      </c>
      <c r="B51" s="35"/>
      <c r="C51" s="35"/>
      <c r="D51" s="35"/>
      <c r="E51" s="35"/>
      <c r="F51" s="35"/>
      <c r="G51" s="35"/>
      <c r="H51" s="35"/>
      <c r="I51" s="35"/>
      <c r="J51" s="36"/>
      <c r="K51" s="35"/>
      <c r="L51" s="3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8" spans="1:22">
      <c r="A52" s="34">
        <v>41</v>
      </c>
      <c r="B52" s="35"/>
      <c r="C52" s="35"/>
      <c r="D52" s="35"/>
      <c r="E52" s="35"/>
      <c r="F52" s="35"/>
      <c r="G52" s="35"/>
      <c r="H52" s="35"/>
      <c r="I52" s="35"/>
      <c r="J52" s="36"/>
      <c r="K52" s="35"/>
      <c r="L52" s="3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8" spans="1:22">
      <c r="A53" s="34">
        <v>42</v>
      </c>
      <c r="B53" s="35"/>
      <c r="C53" s="35"/>
      <c r="D53" s="35"/>
      <c r="E53" s="35"/>
      <c r="F53" s="35"/>
      <c r="G53" s="35"/>
      <c r="H53" s="35"/>
      <c r="I53" s="35"/>
      <c r="J53" s="36"/>
      <c r="K53" s="35"/>
      <c r="L53" s="3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8" spans="1:22">
      <c r="A54" s="34">
        <v>43</v>
      </c>
      <c r="B54" s="35"/>
      <c r="C54" s="35"/>
      <c r="D54" s="35"/>
      <c r="E54" s="35"/>
      <c r="F54" s="35"/>
      <c r="G54" s="35"/>
      <c r="H54" s="35"/>
      <c r="I54" s="35"/>
      <c r="J54" s="36"/>
      <c r="K54" s="35"/>
      <c r="L54" s="3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8" spans="1:22">
      <c r="A55" s="34">
        <v>44</v>
      </c>
      <c r="B55" s="35"/>
      <c r="C55" s="35"/>
      <c r="D55" s="35"/>
      <c r="E55" s="35"/>
      <c r="F55" s="35"/>
      <c r="G55" s="35"/>
      <c r="H55" s="35"/>
      <c r="I55" s="35"/>
      <c r="J55" s="36"/>
      <c r="K55" s="35"/>
      <c r="L55" s="3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8" spans="1:22">
      <c r="A56" s="34">
        <v>45</v>
      </c>
      <c r="B56" s="35"/>
      <c r="C56" s="35"/>
      <c r="D56" s="35"/>
      <c r="E56" s="35"/>
      <c r="F56" s="35"/>
      <c r="G56" s="35"/>
      <c r="H56" s="35"/>
      <c r="I56" s="35"/>
      <c r="J56" s="36"/>
      <c r="K56" s="35"/>
      <c r="L56" s="3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8" spans="1:22">
      <c r="A57" s="34">
        <v>46</v>
      </c>
      <c r="B57" s="35"/>
      <c r="C57" s="35"/>
      <c r="D57" s="35"/>
      <c r="E57" s="35"/>
      <c r="F57" s="35"/>
      <c r="G57" s="35"/>
      <c r="H57" s="35"/>
      <c r="I57" s="35"/>
      <c r="J57" s="36"/>
      <c r="K57" s="35"/>
      <c r="L57" s="3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8" spans="1:22">
      <c r="A58" s="34">
        <v>47</v>
      </c>
      <c r="B58" s="35"/>
      <c r="C58" s="35"/>
      <c r="D58" s="35"/>
      <c r="E58" s="35"/>
      <c r="F58" s="35"/>
      <c r="G58" s="35"/>
      <c r="H58" s="35"/>
      <c r="I58" s="35"/>
      <c r="J58" s="36"/>
      <c r="K58" s="35"/>
      <c r="L58" s="3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8" spans="1:22">
      <c r="A59" s="34">
        <v>48</v>
      </c>
      <c r="B59" s="35"/>
      <c r="C59" s="35"/>
      <c r="D59" s="35"/>
      <c r="E59" s="35"/>
      <c r="F59" s="35"/>
      <c r="G59" s="35"/>
      <c r="H59" s="35"/>
      <c r="I59" s="35"/>
      <c r="J59" s="36"/>
      <c r="K59" s="35"/>
      <c r="L59" s="3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8" spans="1:22">
      <c r="A60" s="34">
        <v>49</v>
      </c>
      <c r="B60" s="35"/>
      <c r="C60" s="35"/>
      <c r="D60" s="35"/>
      <c r="E60" s="35"/>
      <c r="F60" s="35"/>
      <c r="G60" s="35"/>
      <c r="H60" s="35"/>
      <c r="I60" s="35"/>
      <c r="J60" s="36"/>
      <c r="K60" s="35"/>
      <c r="L60" s="3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8" spans="1:22">
      <c r="A61" s="34">
        <v>50</v>
      </c>
      <c r="B61" s="35"/>
      <c r="C61" s="35"/>
      <c r="D61" s="37"/>
      <c r="E61" s="37"/>
      <c r="F61" s="37"/>
      <c r="G61" s="37"/>
      <c r="H61" s="37"/>
      <c r="I61" s="35"/>
      <c r="J61" s="36"/>
      <c r="K61" s="35"/>
      <c r="L61" s="3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8" spans="1:22">
      <c r="A62" s="34">
        <v>51</v>
      </c>
      <c r="B62" s="35"/>
      <c r="C62" s="35"/>
      <c r="D62" s="37"/>
      <c r="E62" s="37"/>
      <c r="F62" s="37"/>
      <c r="G62" s="37"/>
      <c r="H62" s="37"/>
      <c r="I62" s="35"/>
      <c r="J62" s="36"/>
      <c r="K62" s="35"/>
      <c r="L62" s="3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8" spans="1:22">
      <c r="A63" s="34">
        <v>52</v>
      </c>
      <c r="B63" s="35" t="s">
        <v>21</v>
      </c>
      <c r="C63" s="35"/>
      <c r="D63" s="37"/>
      <c r="E63" s="37"/>
      <c r="F63" s="37"/>
      <c r="G63" s="37"/>
      <c r="H63" s="37"/>
      <c r="I63" s="35"/>
      <c r="J63" s="36"/>
      <c r="K63" s="35"/>
      <c r="L63" s="3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8" spans="1:22">
      <c r="A64" s="34">
        <v>53</v>
      </c>
      <c r="B64" s="35" t="s">
        <v>22</v>
      </c>
      <c r="C64" s="35"/>
      <c r="D64" s="37"/>
      <c r="E64" s="37"/>
      <c r="F64" s="37"/>
      <c r="G64" s="37"/>
      <c r="H64" s="37"/>
      <c r="I64" s="35"/>
      <c r="J64" s="36"/>
      <c r="K64" s="35"/>
      <c r="L64" s="3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8" spans="1:22">
      <c r="A65" s="34">
        <v>54</v>
      </c>
      <c r="B65" s="35" t="s">
        <v>23</v>
      </c>
      <c r="C65" s="35" t="s">
        <v>24</v>
      </c>
      <c r="D65" s="37"/>
      <c r="E65" s="37"/>
      <c r="F65" s="37"/>
      <c r="G65" s="37"/>
      <c r="H65" s="37"/>
      <c r="I65" s="35"/>
      <c r="J65" s="36"/>
      <c r="K65" s="35"/>
      <c r="L65" s="3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8" spans="1:22">
      <c r="A66" s="34"/>
      <c r="B66" s="35"/>
      <c r="C66" s="35" t="s">
        <v>25</v>
      </c>
      <c r="D66" s="37"/>
      <c r="E66" s="37"/>
      <c r="F66" s="37"/>
      <c r="G66" s="37"/>
      <c r="H66" s="37"/>
      <c r="I66" s="35"/>
      <c r="J66" s="36"/>
      <c r="K66" s="35"/>
      <c r="L66" s="3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8" spans="1:22">
      <c r="A67" s="34">
        <v>55</v>
      </c>
      <c r="B67" s="35" t="s">
        <v>26</v>
      </c>
      <c r="C67" s="35"/>
      <c r="D67" s="37"/>
      <c r="E67" s="37"/>
      <c r="F67" s="37"/>
      <c r="G67" s="37"/>
      <c r="H67" s="37"/>
      <c r="I67" s="35"/>
      <c r="J67" s="36"/>
      <c r="K67" s="35"/>
      <c r="L67" s="3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8" spans="1:22">
      <c r="A68" s="34">
        <v>56</v>
      </c>
      <c r="B68" s="35" t="s">
        <v>27</v>
      </c>
      <c r="C68" s="35"/>
      <c r="D68" s="37"/>
      <c r="E68" s="37"/>
      <c r="F68" s="37"/>
      <c r="G68" s="37"/>
      <c r="H68" s="37"/>
      <c r="I68" s="35"/>
      <c r="J68" s="36"/>
      <c r="K68" s="35"/>
      <c r="L68" s="3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8" spans="1:22">
      <c r="A69" s="34">
        <v>57</v>
      </c>
      <c r="B69" s="37" t="s">
        <v>28</v>
      </c>
      <c r="C69" s="38" t="s">
        <v>29</v>
      </c>
      <c r="D69" s="38" t="s">
        <v>30</v>
      </c>
      <c r="E69" s="38"/>
      <c r="F69" s="37"/>
      <c r="G69" s="37"/>
      <c r="H69" s="37"/>
      <c r="I69" s="35"/>
      <c r="J69" s="36"/>
      <c r="K69" s="35"/>
      <c r="L69" s="3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8" spans="1:22">
      <c r="A70" s="34">
        <v>58</v>
      </c>
      <c r="B70" s="37"/>
      <c r="C70" s="38"/>
      <c r="D70" s="37" t="s">
        <v>31</v>
      </c>
      <c r="E70" s="37"/>
      <c r="F70" s="37"/>
      <c r="G70" s="37"/>
      <c r="H70" s="37"/>
      <c r="I70" s="35"/>
      <c r="J70" s="36"/>
      <c r="K70" s="35"/>
      <c r="L70" s="3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8" spans="1:22">
      <c r="A71" s="34">
        <v>59</v>
      </c>
      <c r="B71" s="37"/>
      <c r="C71" s="37" t="s">
        <v>32</v>
      </c>
      <c r="D71" s="37" t="s">
        <v>30</v>
      </c>
      <c r="E71" s="37"/>
      <c r="F71" s="37"/>
      <c r="G71" s="37"/>
      <c r="H71" s="37"/>
      <c r="I71" s="35"/>
      <c r="J71" s="36"/>
      <c r="K71" s="35"/>
      <c r="L71" s="3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8" spans="1:22">
      <c r="A72" s="34">
        <v>60</v>
      </c>
      <c r="B72" s="37"/>
      <c r="C72" s="37"/>
      <c r="D72" s="37" t="s">
        <v>31</v>
      </c>
      <c r="E72" s="37"/>
      <c r="F72" s="37"/>
      <c r="G72" s="37"/>
      <c r="H72" s="37"/>
      <c r="I72" s="35"/>
      <c r="J72" s="36"/>
      <c r="K72" s="35"/>
      <c r="L72" s="3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8" spans="1:22">
      <c r="A73" s="34">
        <v>61</v>
      </c>
      <c r="B73" s="37"/>
      <c r="C73" s="37" t="s">
        <v>33</v>
      </c>
      <c r="D73" s="37" t="s">
        <v>34</v>
      </c>
      <c r="E73" s="37"/>
      <c r="F73" s="37"/>
      <c r="G73" s="37"/>
      <c r="H73" s="37"/>
      <c r="I73" s="37"/>
      <c r="J73" s="36"/>
      <c r="K73" s="35"/>
      <c r="L73" s="3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8" spans="1:22">
      <c r="A74" s="34">
        <v>62</v>
      </c>
      <c r="B74" s="37"/>
      <c r="C74" s="37"/>
      <c r="D74" s="37" t="s">
        <v>35</v>
      </c>
      <c r="E74" s="37"/>
      <c r="F74" s="37"/>
      <c r="G74" s="37"/>
      <c r="H74" s="37"/>
      <c r="I74" s="37"/>
      <c r="J74" s="36"/>
      <c r="K74" s="35"/>
      <c r="L74" s="3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8" spans="1:22">
      <c r="A75" s="34">
        <v>63</v>
      </c>
      <c r="B75" s="37"/>
      <c r="C75" s="37" t="s">
        <v>36</v>
      </c>
      <c r="D75" s="37" t="s">
        <v>37</v>
      </c>
      <c r="E75" s="37"/>
      <c r="F75" s="37"/>
      <c r="G75" s="37"/>
      <c r="H75" s="37"/>
      <c r="I75" s="37"/>
      <c r="J75" s="36"/>
      <c r="K75" s="35"/>
      <c r="L75" s="3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8" spans="1:22">
      <c r="A76" s="34">
        <v>64</v>
      </c>
      <c r="B76" s="37"/>
      <c r="C76" s="37" t="s">
        <v>38</v>
      </c>
      <c r="D76" s="37" t="s">
        <v>39</v>
      </c>
      <c r="E76" s="37"/>
      <c r="F76" s="37"/>
      <c r="G76" s="37"/>
      <c r="H76" s="37"/>
      <c r="I76" s="37"/>
      <c r="J76" s="36"/>
      <c r="K76" s="35"/>
      <c r="L76" s="3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36" spans="1:22">
      <c r="A77" s="34">
        <v>65</v>
      </c>
      <c r="B77" s="37"/>
      <c r="C77" s="37"/>
      <c r="D77" s="37" t="s">
        <v>40</v>
      </c>
      <c r="E77" s="37"/>
      <c r="F77" s="37"/>
      <c r="G77" s="37"/>
      <c r="H77" s="37"/>
      <c r="I77" s="37"/>
      <c r="J77" s="36"/>
      <c r="K77" s="35"/>
      <c r="L77" s="3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36" spans="1:22">
      <c r="A78" s="34">
        <v>66</v>
      </c>
      <c r="B78" s="37"/>
      <c r="C78" s="37"/>
      <c r="D78" s="37" t="s">
        <v>41</v>
      </c>
      <c r="E78" s="37"/>
      <c r="F78" s="37"/>
      <c r="G78" s="37"/>
      <c r="H78" s="37"/>
      <c r="I78" s="37"/>
      <c r="J78" s="36"/>
      <c r="K78" s="35"/>
      <c r="L78" s="3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8" spans="1:22">
      <c r="A79" s="34">
        <v>67</v>
      </c>
      <c r="B79" s="37"/>
      <c r="C79" s="37"/>
      <c r="D79" s="37" t="s">
        <v>42</v>
      </c>
      <c r="E79" s="37"/>
      <c r="F79" s="37"/>
      <c r="G79" s="37"/>
      <c r="H79" s="37"/>
      <c r="I79" s="37"/>
      <c r="J79" s="36"/>
      <c r="K79" s="35"/>
      <c r="L79" s="3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8" spans="1:22">
      <c r="A80" s="34">
        <v>68</v>
      </c>
      <c r="B80" s="37"/>
      <c r="C80" s="37" t="s">
        <v>43</v>
      </c>
      <c r="D80" s="37" t="s">
        <v>44</v>
      </c>
      <c r="E80" s="37"/>
      <c r="F80" s="37"/>
      <c r="G80" s="37"/>
      <c r="H80" s="37"/>
      <c r="I80" s="37"/>
      <c r="J80" s="36"/>
      <c r="K80" s="35"/>
      <c r="L80" s="3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8" spans="1:22">
      <c r="A81" s="34">
        <v>69</v>
      </c>
      <c r="B81" s="37"/>
      <c r="C81" s="39" t="s">
        <v>45</v>
      </c>
      <c r="D81" s="39" t="s">
        <v>44</v>
      </c>
      <c r="E81" s="39"/>
      <c r="F81" s="37"/>
      <c r="G81" s="37"/>
      <c r="H81" s="37"/>
      <c r="I81" s="37"/>
      <c r="J81" s="36"/>
      <c r="K81" s="35"/>
      <c r="L81" s="3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36" spans="1:22">
      <c r="A82" s="34">
        <v>70</v>
      </c>
      <c r="B82" s="37"/>
      <c r="C82" s="37" t="s">
        <v>46</v>
      </c>
      <c r="D82" s="37" t="s">
        <v>44</v>
      </c>
      <c r="E82" s="37"/>
      <c r="F82" s="37"/>
      <c r="G82" s="37"/>
      <c r="H82" s="37"/>
      <c r="I82" s="37"/>
      <c r="J82" s="36"/>
      <c r="K82" s="35"/>
      <c r="L82" s="3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8" spans="1:22">
      <c r="A83" s="34">
        <v>71</v>
      </c>
      <c r="B83" s="35"/>
      <c r="C83" s="35"/>
      <c r="D83" s="37"/>
      <c r="E83" s="37"/>
      <c r="F83" s="37"/>
      <c r="G83" s="37"/>
      <c r="H83" s="37"/>
      <c r="I83" s="37"/>
      <c r="J83" s="36"/>
      <c r="K83" s="35"/>
      <c r="L83" s="3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8" spans="1:22">
      <c r="A84" s="34">
        <v>72</v>
      </c>
      <c r="B84" s="35"/>
      <c r="C84" s="35"/>
      <c r="D84" s="37"/>
      <c r="E84" s="37"/>
      <c r="F84" s="37"/>
      <c r="G84" s="37"/>
      <c r="H84" s="37"/>
      <c r="I84" s="35"/>
      <c r="J84" s="36"/>
      <c r="K84" s="35"/>
      <c r="L84" s="3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8" spans="1:22">
      <c r="A85" s="34">
        <v>73</v>
      </c>
      <c r="B85" s="35"/>
      <c r="C85" s="35"/>
      <c r="D85" s="37"/>
      <c r="E85" s="37"/>
      <c r="F85" s="37"/>
      <c r="G85" s="37"/>
      <c r="H85" s="37"/>
      <c r="I85" s="35"/>
      <c r="J85" s="36"/>
      <c r="K85" s="35"/>
      <c r="L85" s="3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8" spans="1:22">
      <c r="A86" s="34">
        <v>74</v>
      </c>
      <c r="B86" s="35"/>
      <c r="C86" s="35"/>
      <c r="D86" s="37"/>
      <c r="E86" s="37"/>
      <c r="F86" s="37"/>
      <c r="G86" s="37"/>
      <c r="H86" s="37"/>
      <c r="I86" s="35"/>
      <c r="J86" s="36"/>
      <c r="K86" s="35"/>
      <c r="L86" s="3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8" spans="1:22">
      <c r="A87" s="34">
        <v>75</v>
      </c>
      <c r="B87" s="35"/>
      <c r="C87" s="35"/>
      <c r="D87" s="37"/>
      <c r="E87" s="37"/>
      <c r="F87" s="37"/>
      <c r="G87" s="37"/>
      <c r="H87" s="37"/>
      <c r="I87" s="35"/>
      <c r="J87" s="36"/>
      <c r="K87" s="35"/>
      <c r="L87" s="3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</sheetData>
  <mergeCells count="20">
    <mergeCell ref="A1:B1"/>
    <mergeCell ref="F1:G1"/>
    <mergeCell ref="I1:L1"/>
    <mergeCell ref="B9:D9"/>
    <mergeCell ref="A2:A6"/>
    <mergeCell ref="A7:A8"/>
    <mergeCell ref="A9:A10"/>
    <mergeCell ref="B65:B66"/>
    <mergeCell ref="B69:B82"/>
    <mergeCell ref="C69:C70"/>
    <mergeCell ref="C71:C72"/>
    <mergeCell ref="C73:C74"/>
    <mergeCell ref="C76:C79"/>
    <mergeCell ref="E9:E10"/>
    <mergeCell ref="F9:F10"/>
    <mergeCell ref="G9:G10"/>
    <mergeCell ref="H9:H10"/>
    <mergeCell ref="I9:I10"/>
    <mergeCell ref="B7:G8"/>
    <mergeCell ref="B2:H6"/>
  </mergeCells>
  <dataValidations count="1">
    <dataValidation type="list" allowBlank="1" showErrorMessage="1" sqref="J11:J87 L11:L15" errorStyle="warning">
      <formula1>"通关,待确认,未通过"</formula1>
    </dataValidation>
  </dataValidation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陌离</cp:lastModifiedBy>
  <dcterms:created xsi:type="dcterms:W3CDTF">2026-07-08T13:18:00Z</dcterms:created>
  <dcterms:modified xsi:type="dcterms:W3CDTF">2026-07-10T03:41:04Z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9A55FB7977F0458F905941AFF117BA64_12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